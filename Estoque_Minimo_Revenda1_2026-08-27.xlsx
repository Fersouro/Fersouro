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cao Revenda 1" sheetId="1" state="visible" r:id="rId1"/>
    <sheet name="Legenda" sheetId="2" state="visible" r:id="rId2"/>
  </sheets>
  <definedNames>
    <definedName name="_xlnm._FilterDatabase" localSheetId="0" hidden="1">'Reposicao Revenda 1'!$A$8:$I$18</definedName>
    <definedName name="_xlnm.Print_Titles" localSheetId="0">'Reposicao Revenda 1'!$8:$8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4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0" fillId="4" borderId="1" pivotButton="0" quotePrefix="0" xfId="0"/>
    <xf numFmtId="0" fontId="3" fillId="4" borderId="1" pivotButton="0" quotePrefix="0" xfId="0"/>
    <xf numFmtId="3" fontId="3" fillId="4" borderId="1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Analise de Estoque</author>
  </authors>
  <commentList>
    <comment ref="C5" authorId="0" shapeId="0">
      <text>
        <t>Multiplicador do estoque mínimo usado para dimensionar o lote de compra.
1,00 = comprar exatamente a quantidade do mínimo (repor um lote).
2,00 = comprar o dobro do mínimo.
Premissa informada pelo usuário — altere APENAS esta célula e a coluna
'Qtd. a Comprar' recalcula para todas as peças.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9" customWidth="1" min="4" max="4"/>
    <col width="13" customWidth="1" min="5" max="5"/>
    <col width="14" customWidth="1" min="6" max="6"/>
    <col width="10" customWidth="1" min="7" max="7"/>
    <col width="14" customWidth="1" min="8" max="8"/>
    <col width="18" customWidth="1" min="9" max="9"/>
  </cols>
  <sheetData>
    <row r="1">
      <c r="A1" s="1" t="inlineStr">
        <is>
          <t>PEDIDO DE REPOSIÇÃO — ESTOQUE MÍNIMO</t>
        </is>
      </c>
    </row>
    <row r="2">
      <c r="A2" s="2" t="inlineStr">
        <is>
          <t>Revenda 1  |  Data de referência: 27/08/2026</t>
        </is>
      </c>
    </row>
    <row r="3">
      <c r="A3" s="2" t="inlineStr">
        <is>
          <t>Itens em ruptura, abaixo do mínimo ou exatamente no mínimo (ponto de pedido).</t>
        </is>
      </c>
    </row>
    <row r="5">
      <c r="A5" s="3" t="inlineStr">
        <is>
          <t>Fator de reposição:</t>
        </is>
      </c>
      <c r="C5" s="4" t="n">
        <v>1</v>
      </c>
      <c r="D5" s="2" t="inlineStr">
        <is>
          <t>← altere aqui (célula amarela): 1,00 = repor um lote igual ao mínimo</t>
        </is>
      </c>
    </row>
    <row r="8" ht="30" customHeight="1">
      <c r="A8" s="5" t="inlineStr">
        <is>
          <t>#</t>
        </is>
      </c>
      <c r="B8" s="5" t="inlineStr">
        <is>
          <t>Código da Peça</t>
        </is>
      </c>
      <c r="C8" s="5" t="inlineStr">
        <is>
          <t>Descrição da Peça</t>
        </is>
      </c>
      <c r="D8" s="5" t="inlineStr">
        <is>
          <t>Revenda</t>
        </is>
      </c>
      <c r="E8" s="5" t="inlineStr">
        <is>
          <t>Estoque Atual</t>
        </is>
      </c>
      <c r="F8" s="5" t="inlineStr">
        <is>
          <t>Estoque Mínimo</t>
        </is>
      </c>
      <c r="G8" s="5" t="inlineStr">
        <is>
          <t>Déficit</t>
        </is>
      </c>
      <c r="H8" s="5" t="inlineStr">
        <is>
          <t>Qtd. a Comprar</t>
        </is>
      </c>
      <c r="I8" s="5" t="inlineStr">
        <is>
          <t>Status</t>
        </is>
      </c>
    </row>
    <row r="9">
      <c r="A9" s="6" t="n">
        <v>1</v>
      </c>
      <c r="B9" s="7" t="inlineStr">
        <is>
          <t>2QB201511</t>
        </is>
      </c>
      <c r="C9" s="7" t="n"/>
      <c r="D9" s="6" t="n">
        <v>1</v>
      </c>
      <c r="E9" s="8" t="n">
        <v>130</v>
      </c>
      <c r="F9" s="8" t="n">
        <v>130</v>
      </c>
      <c r="G9" s="9">
        <f>MAX(F9-E9,0)</f>
        <v>0</v>
      </c>
      <c r="H9" s="10">
        <f>MAX(G9,ROUND(F9*$C$5,0))</f>
        <v>130</v>
      </c>
      <c r="I9" s="6" t="str">
        <f>IF(E9&lt;=0,"Crítico",IF(E9&lt;F9,"Abaixo do Mínimo",IF(E9=F9,"No Mínimo","Ok")))</f>
        <v>No Mínimo</v>
      </c>
    </row>
    <row r="10">
      <c r="A10" s="6" t="n">
        <v>2</v>
      </c>
      <c r="B10" s="7" t="inlineStr">
        <is>
          <t>04C905607</t>
        </is>
      </c>
      <c r="C10" s="7" t="n"/>
      <c r="D10" s="6" t="n">
        <v>1</v>
      </c>
      <c r="E10" s="8" t="n">
        <v>60</v>
      </c>
      <c r="F10" s="8" t="n">
        <v>60</v>
      </c>
      <c r="G10" s="9">
        <f>MAX(F10-E10,0)</f>
        <v>0</v>
      </c>
      <c r="H10" s="10">
        <f>MAX(G10,ROUND(F10*$C$5,0))</f>
        <v>60</v>
      </c>
      <c r="I10" s="6" t="str">
        <f>IF(E10&lt;=0,"Crítico",IF(E10&lt;F10,"Abaixo do Mínimo",IF(E10=F10,"No Mínimo","Ok")))</f>
        <v>No Mínimo</v>
      </c>
    </row>
    <row r="11">
      <c r="A11" s="6" t="n">
        <v>3</v>
      </c>
      <c r="B11" s="7" t="inlineStr">
        <is>
          <t>04C109479J</t>
        </is>
      </c>
      <c r="C11" s="7" t="n"/>
      <c r="D11" s="6" t="n">
        <v>1</v>
      </c>
      <c r="E11" s="8" t="n">
        <v>50</v>
      </c>
      <c r="F11" s="8" t="n">
        <v>50</v>
      </c>
      <c r="G11" s="9">
        <f>MAX(F11-E11,0)</f>
        <v>0</v>
      </c>
      <c r="H11" s="10">
        <f>MAX(G11,ROUND(F11*$C$5,0))</f>
        <v>50</v>
      </c>
      <c r="I11" s="6" t="str">
        <f>IF(E11&lt;=0,"Crítico",IF(E11&lt;F11,"Abaixo do Mínimo",IF(E11=F11,"No Mínimo","Ok")))</f>
        <v>No Mínimo</v>
      </c>
    </row>
    <row r="12">
      <c r="A12" s="6" t="n">
        <v>4</v>
      </c>
      <c r="B12" s="7" t="inlineStr">
        <is>
          <t>05E145933</t>
        </is>
      </c>
      <c r="C12" s="7" t="n"/>
      <c r="D12" s="6" t="n">
        <v>1</v>
      </c>
      <c r="E12" s="8" t="n">
        <v>15</v>
      </c>
      <c r="F12" s="8" t="n">
        <v>15</v>
      </c>
      <c r="G12" s="9">
        <f>MAX(F12-E12,0)</f>
        <v>0</v>
      </c>
      <c r="H12" s="10">
        <f>MAX(G12,ROUND(F12*$C$5,0))</f>
        <v>15</v>
      </c>
      <c r="I12" s="6" t="str">
        <f>IF(E12&lt;=0,"Crítico",IF(E12&lt;F12,"Abaixo do Mínimo",IF(E12=F12,"No Mínimo","Ok")))</f>
        <v>No Mínimo</v>
      </c>
    </row>
    <row r="13">
      <c r="A13" s="6" t="n">
        <v>5</v>
      </c>
      <c r="B13" s="7" t="inlineStr">
        <is>
          <t>JZZ129620M</t>
        </is>
      </c>
      <c r="C13" s="7" t="n"/>
      <c r="D13" s="6" t="n">
        <v>1</v>
      </c>
      <c r="E13" s="8" t="n">
        <v>15</v>
      </c>
      <c r="F13" s="8" t="n">
        <v>15</v>
      </c>
      <c r="G13" s="9">
        <f>MAX(F13-E13,0)</f>
        <v>0</v>
      </c>
      <c r="H13" s="10">
        <f>MAX(G13,ROUND(F13*$C$5,0))</f>
        <v>15</v>
      </c>
      <c r="I13" s="6" t="str">
        <f>IF(E13&lt;=0,"Crítico",IF(E13&lt;F13,"Abaixo do Mínimo",IF(E13=F13,"No Mínimo","Ok")))</f>
        <v>No Mínimo</v>
      </c>
    </row>
    <row r="14">
      <c r="A14" s="6" t="n">
        <v>6</v>
      </c>
      <c r="B14" s="7" t="inlineStr">
        <is>
          <t>5Q0407183K</t>
        </is>
      </c>
      <c r="C14" s="7" t="n"/>
      <c r="D14" s="6" t="n">
        <v>1</v>
      </c>
      <c r="E14" s="8" t="n">
        <v>4</v>
      </c>
      <c r="F14" s="8" t="n">
        <v>4</v>
      </c>
      <c r="G14" s="9">
        <f>MAX(F14-E14,0)</f>
        <v>0</v>
      </c>
      <c r="H14" s="10">
        <f>MAX(G14,ROUND(F14*$C$5,0))</f>
        <v>4</v>
      </c>
      <c r="I14" s="6" t="str">
        <f>IF(E14&lt;=0,"Crítico",IF(E14&lt;F14,"Abaixo do Mínimo",IF(E14=F14,"No Mínimo","Ok")))</f>
        <v>No Mínimo</v>
      </c>
    </row>
    <row r="15">
      <c r="A15" s="6" t="n">
        <v>7</v>
      </c>
      <c r="B15" s="7" t="inlineStr">
        <is>
          <t>2G6827517A</t>
        </is>
      </c>
      <c r="C15" s="7" t="n"/>
      <c r="D15" s="6" t="n">
        <v>1</v>
      </c>
      <c r="E15" s="8" t="n">
        <v>2</v>
      </c>
      <c r="F15" s="8" t="n">
        <v>2</v>
      </c>
      <c r="G15" s="9">
        <f>MAX(F15-E15,0)</f>
        <v>0</v>
      </c>
      <c r="H15" s="10">
        <f>MAX(G15,ROUND(F15*$C$5,0))</f>
        <v>2</v>
      </c>
      <c r="I15" s="6" t="str">
        <f>IF(E15&lt;=0,"Crítico",IF(E15&lt;F15,"Abaixo do Mínimo",IF(E15=F15,"No Mínimo","Ok")))</f>
        <v>No Mínimo</v>
      </c>
    </row>
    <row r="16">
      <c r="A16" s="6" t="n">
        <v>8</v>
      </c>
      <c r="B16" s="7" t="inlineStr">
        <is>
          <t>5Z0820411E</t>
        </is>
      </c>
      <c r="C16" s="7" t="n"/>
      <c r="D16" s="6" t="n">
        <v>1</v>
      </c>
      <c r="E16" s="8" t="n">
        <v>2</v>
      </c>
      <c r="F16" s="8" t="n">
        <v>2</v>
      </c>
      <c r="G16" s="9">
        <f>MAX(F16-E16,0)</f>
        <v>0</v>
      </c>
      <c r="H16" s="10">
        <f>MAX(G16,ROUND(F16*$C$5,0))</f>
        <v>2</v>
      </c>
      <c r="I16" s="6" t="str">
        <f>IF(E16&lt;=0,"Crítico",IF(E16&lt;F16,"Abaixo do Mínimo",IF(E16=F16,"No Mínimo","Ok")))</f>
        <v>No Mínimo</v>
      </c>
    </row>
    <row r="17">
      <c r="A17" s="6" t="n">
        <v>9</v>
      </c>
      <c r="B17" s="7" t="inlineStr">
        <is>
          <t>2G5941036B</t>
        </is>
      </c>
      <c r="C17" s="7" t="n"/>
      <c r="D17" s="6" t="n">
        <v>1</v>
      </c>
      <c r="E17" s="8" t="n">
        <v>1</v>
      </c>
      <c r="F17" s="8" t="n">
        <v>1</v>
      </c>
      <c r="G17" s="9">
        <f>MAX(F17-E17,0)</f>
        <v>0</v>
      </c>
      <c r="H17" s="10">
        <f>MAX(G17,ROUND(F17*$C$5,0))</f>
        <v>1</v>
      </c>
      <c r="I17" s="6" t="str">
        <f>IF(E17&lt;=0,"Crítico",IF(E17&lt;F17,"Abaixo do Mínimo",IF(E17=F17,"No Mínimo","Ok")))</f>
        <v>No Mínimo</v>
      </c>
    </row>
    <row r="18">
      <c r="A18" s="6" t="n">
        <v>10</v>
      </c>
      <c r="B18" s="7" t="inlineStr">
        <is>
          <t>5U0809958D</t>
        </is>
      </c>
      <c r="C18" s="7" t="n"/>
      <c r="D18" s="6" t="n">
        <v>1</v>
      </c>
      <c r="E18" s="8" t="n">
        <v>1</v>
      </c>
      <c r="F18" s="8" t="n">
        <v>1</v>
      </c>
      <c r="G18" s="9">
        <f>MAX(F18-E18,0)</f>
        <v>0</v>
      </c>
      <c r="H18" s="10">
        <f>MAX(G18,ROUND(F18*$C$5,0))</f>
        <v>1</v>
      </c>
      <c r="I18" s="6" t="str">
        <f>IF(E18&lt;=0,"Crítico",IF(E18&lt;F18,"Abaixo do Mínimo",IF(E18=F18,"No Mínimo","Ok")))</f>
        <v>No Mínimo</v>
      </c>
    </row>
    <row r="19">
      <c r="A19" s="11" t="n"/>
      <c r="B19" s="12" t="inlineStr">
        <is>
          <t>TOTAL</t>
        </is>
      </c>
      <c r="C19" s="12" t="str">
        <f>COUNTA(B9:B18)&amp;" itens"</f>
        <v>10 itens</v>
      </c>
      <c r="D19" s="11" t="n"/>
      <c r="E19" s="11" t="n"/>
      <c r="F19" s="11" t="n"/>
      <c r="G19" s="13">
        <f>SUM(G9:G18)</f>
        <v>0</v>
      </c>
      <c r="H19" s="13">
        <f>SUM(H9:H18)</f>
        <v>280</v>
      </c>
      <c r="I19" s="11" t="n"/>
    </row>
    <row r="21">
      <c r="A21" s="3" t="inlineStr">
        <is>
          <t>PREMISSAS E ORIGEM DOS DADOS</t>
        </is>
      </c>
    </row>
    <row r="22" ht="26" customHeight="1">
      <c r="A22" s="14" t="inlineStr">
        <is>
          <t>• Lista de peças e quantidades informada por Fernando de Souza Roquete (mensagem de 27/08/2026); nenhuma consulta ao Data Lake foi executada.</t>
        </is>
      </c>
    </row>
    <row r="23" ht="26" customHeight="1">
      <c r="A23" s="14" t="inlineStr">
        <is>
          <t>• As peças listadas estão NO estoque mínimo (ponto de pedido): Estoque Atual = Estoque Mínimo, portanto o Déficit é 0.</t>
        </is>
      </c>
    </row>
    <row r="24" ht="26" customHeight="1">
      <c r="A24" s="14" t="inlineStr">
        <is>
          <t>• Como o déficit é 0, a Qtd. a Comprar vem do lote = Estoque Mínimo x Fator de Reposição (célula amarela C5, hoje 1,00). Ajuste o fator, ou digite direto na coluna H, se a política de compra for outra.</t>
        </is>
      </c>
    </row>
    <row r="25" ht="26" customHeight="1">
      <c r="A25" s="14" t="inlineStr">
        <is>
          <t>• Coluna 'Descrição da Peça' vazia de propósito: não foi informada e não deve ser adivinhada. Preencher pelo cadastro (dim_produto) antes de enviar ao fornecedor.</t>
        </is>
      </c>
    </row>
    <row r="26" ht="26" customHeight="1">
      <c r="A26" s="14" t="inlineStr">
        <is>
          <t>• Células com texto AZUL são dados de entrada; texto PRETO é fórmula calculada.</t>
        </is>
      </c>
    </row>
  </sheetData>
  <autoFilter ref="A8:I18"/>
  <mergeCells count="5">
    <mergeCell ref="A25:I25"/>
    <mergeCell ref="A23:I23"/>
    <mergeCell ref="A22:I22"/>
    <mergeCell ref="A26:I26"/>
    <mergeCell ref="A24:I24"/>
  </mergeCells>
  <conditionalFormatting sqref="A9:I18">
    <cfRule type="expression" priority="1" dxfId="0" stopIfTrue="0">
      <formula>$I9="Crítico"</formula>
    </cfRule>
    <cfRule type="expression" priority="2" dxfId="1" stopIfTrue="0">
      <formula>$I9="Abaixo do Mínimo"</formula>
    </cfRule>
    <cfRule type="expression" priority="3" dxfId="2" stopIfTrue="0">
      <formula>$I9="No Mínimo"</formula>
    </cfRule>
  </conditionalFormatting>
  <pageMargins left="0.75" right="0.75" top="1" bottom="1" header="0.5" footer="0.5"/>
  <pageSetup orientation="landscape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" t="inlineStr">
        <is>
          <t>COMO USAR ESTA PLANILHA</t>
        </is>
      </c>
    </row>
    <row r="3" ht="28" customHeight="1">
      <c r="A3" s="3" t="inlineStr">
        <is>
          <t>Célula amarela (C5)</t>
        </is>
      </c>
      <c r="B3" s="15" t="inlineStr">
        <is>
          <t>Fator de reposição. É a ÚNICA premissa. 1,00 compra um lote igual ao estoque mínimo.</t>
        </is>
      </c>
    </row>
    <row r="4" ht="28" customHeight="1">
      <c r="A4" s="3" t="inlineStr">
        <is>
          <t>Texto azul</t>
        </is>
      </c>
      <c r="B4" s="15" t="inlineStr">
        <is>
          <t>Dado de entrada — pode ser digitado/alterado (código, descrição, estoque atual, estoque mínimo).</t>
        </is>
      </c>
    </row>
    <row r="5" ht="28" customHeight="1">
      <c r="A5" s="3" t="inlineStr">
        <is>
          <t>Texto preto</t>
        </is>
      </c>
      <c r="B5" s="15" t="inlineStr">
        <is>
          <t>Fórmula — não digite por cima, recalcula sozinho.</t>
        </is>
      </c>
    </row>
    <row r="6" ht="28" customHeight="1">
      <c r="A6" s="3" t="inlineStr">
        <is>
          <t>Déficit</t>
        </is>
      </c>
      <c r="B6" s="15">
        <f>MAX(Estoque Mínimo - Estoque Atual; 0). Quanto falta para voltar ao mínimo.</f>
        <v/>
      </c>
    </row>
    <row r="7" ht="28" customHeight="1">
      <c r="A7" s="3" t="inlineStr">
        <is>
          <t>Qtd. a Comprar</t>
        </is>
      </c>
      <c r="B7" s="15">
        <f>MAX(Déficit; ARRED(Estoque Mínimo x Fator; 0)). Nunca menor que o déficit.</f>
        <v/>
      </c>
    </row>
    <row r="8" ht="28" customHeight="1">
      <c r="A8" s="3" t="inlineStr">
        <is>
          <t>Status</t>
        </is>
      </c>
      <c r="B8" s="15" t="inlineStr">
        <is>
          <t>Crítico = estoque 0 ou negativo · Abaixo do Mínimo · No Mínimo (ponto de pedido) · Ok.</t>
        </is>
      </c>
    </row>
    <row r="9" ht="28" customHeight="1">
      <c r="A9" s="3" t="inlineStr">
        <is>
          <t>Cores das linhas</t>
        </is>
      </c>
      <c r="B9" s="15" t="inlineStr">
        <is>
          <t>Vermelho = Crítico · Amarelo = Abaixo do Mínimo · Azul = No Mínimo.</t>
        </is>
      </c>
    </row>
    <row r="10" ht="28" customHeight="1">
      <c r="A10" s="3" t="inlineStr">
        <is>
          <t>Exemplo de preenchimento</t>
        </is>
      </c>
      <c r="B10" s="15" t="inlineStr">
        <is>
          <t>Ver linha abaixo: formato esperado de cada coluna.</t>
        </is>
      </c>
    </row>
    <row r="12">
      <c r="A12" s="3" t="inlineStr">
        <is>
          <t>EXEMPLO (não é dado real)</t>
        </is>
      </c>
    </row>
    <row r="13">
      <c r="A13" s="16" t="inlineStr">
        <is>
          <t>Código da Peça</t>
        </is>
      </c>
      <c r="B13" s="17" t="inlineStr">
        <is>
          <t>5Z0820411E</t>
        </is>
      </c>
    </row>
    <row r="14">
      <c r="A14" s="16" t="inlineStr">
        <is>
          <t>Descrição da Peça</t>
        </is>
      </c>
      <c r="B14" s="17" t="inlineStr">
        <is>
          <t>Filtro de ar condicionado</t>
        </is>
      </c>
    </row>
    <row r="15">
      <c r="A15" s="16" t="inlineStr">
        <is>
          <t>Estoque Atual</t>
        </is>
      </c>
      <c r="B15" s="17" t="inlineStr">
        <is>
          <t>2</t>
        </is>
      </c>
    </row>
    <row r="16">
      <c r="A16" s="16" t="inlineStr">
        <is>
          <t>Estoque Mínimo</t>
        </is>
      </c>
      <c r="B16" s="17" t="inlineStr">
        <is>
          <t>2</t>
        </is>
      </c>
    </row>
    <row r="17">
      <c r="A17" s="16" t="inlineStr">
        <is>
          <t>Resultado esperado</t>
        </is>
      </c>
      <c r="B17" s="17" t="inlineStr">
        <is>
          <t>Status 'No Mínimo', Déficit 0, Qtd. a Comprar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2026-08-27T18:19:21Z</dcterms:created>
  <dcterms:modified xsi:type="dcterms:W3CDTF">2026-08-27T18:19:21Z</dcterms:modified>
</cp:coreProperties>
</file>