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DataLake" sheetId="2" state="visible" r:id="rId4"/>
    <sheet name="Instruções" sheetId="3" state="visible" r:id="rId5"/>
  </sheets>
  <definedNames>
    <definedName function="false" hidden="true" localSheetId="0" name="_xlnm._FilterDatabase" vbProcedure="false">Consolidado!$A$1:$E$43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Buscado no extrato do DataLake (aba 'DataLake') por INDEX/MATCH usando o Código da Peça como chave.</t>
        </r>
      </text>
    </comment>
    <comment ref="D1" authorId="0">
      <text>
        <r>
          <rPr>
            <sz val="10"/>
            <rFont val="Arial"/>
            <family val="2"/>
          </rPr>
          <t xml:space="preserve">Coluna H da planilha de origem (aba 'Pedido'): 'Preço Rev. c/ IPI (Promo.)'. Valor copiado da planilha Estratégico PAC VII enviada pelo usuário.</t>
        </r>
      </text>
    </comment>
    <comment ref="E1" authorId="0">
      <text>
        <r>
          <rPr>
            <sz val="10"/>
            <rFont val="Arial"/>
            <family val="2"/>
          </rPr>
          <t xml:space="preserve">Preço Original x (1 + acréscimo). O acréscimo de 40% está na célula Instruções!B6 e é referenciado pela fórmula.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Parâmetro do cálculo: Preço Estratégico = Preço Original x (1 + este valor). Definido em 40% conforme solicitação do usuário. Alterar aqui recalcula toda a coluna E da aba 'Consolidado'.</t>
        </r>
      </text>
    </comment>
  </commentList>
</comments>
</file>

<file path=xl/sharedStrings.xml><?xml version="1.0" encoding="utf-8"?>
<sst xmlns="http://schemas.openxmlformats.org/spreadsheetml/2006/main" count="121" uniqueCount="75">
  <si>
    <t xml:space="preserve">Código da Peça</t>
  </si>
  <si>
    <t xml:space="preserve">Estoque (DataLake)</t>
  </si>
  <si>
    <t xml:space="preserve">Preço Público (DataLake)</t>
  </si>
  <si>
    <t xml:space="preserve">Preço Original (Coluna H)</t>
  </si>
  <si>
    <t xml:space="preserve">Preço Estratégico (+40%)</t>
  </si>
  <si>
    <t xml:space="preserve">04C-115-105-E</t>
  </si>
  <si>
    <t xml:space="preserve">04E-115-105-BM</t>
  </si>
  <si>
    <t xml:space="preserve">04E-115-105-M</t>
  </si>
  <si>
    <t xml:space="preserve">030-115-636-D</t>
  </si>
  <si>
    <t xml:space="preserve">059-121-012-B</t>
  </si>
  <si>
    <t xml:space="preserve">2GB-121-203-J</t>
  </si>
  <si>
    <t xml:space="preserve">5QM-121-203-L</t>
  </si>
  <si>
    <t xml:space="preserve">5U0-121-207-B</t>
  </si>
  <si>
    <t xml:space="preserve">2QB-121-251-A</t>
  </si>
  <si>
    <t xml:space="preserve">5U0-121-253-C</t>
  </si>
  <si>
    <t xml:space="preserve">2Q0-121-321-A</t>
  </si>
  <si>
    <t xml:space="preserve">5U0-121-407-C</t>
  </si>
  <si>
    <t xml:space="preserve">5U0-122-101</t>
  </si>
  <si>
    <t xml:space="preserve">5Q0-122-291-BB</t>
  </si>
  <si>
    <t xml:space="preserve">5Q0-122-291-DA</t>
  </si>
  <si>
    <t xml:space="preserve">032-145-276</t>
  </si>
  <si>
    <t xml:space="preserve">04E-145-299-E</t>
  </si>
  <si>
    <t xml:space="preserve">04E-145-299-N</t>
  </si>
  <si>
    <t xml:space="preserve">030-145-933-AC</t>
  </si>
  <si>
    <t xml:space="preserve">04E-145-933-AD</t>
  </si>
  <si>
    <t xml:space="preserve">04E-145-933-M</t>
  </si>
  <si>
    <t xml:space="preserve">03L-198-119-F</t>
  </si>
  <si>
    <t xml:space="preserve">030-198-955-A</t>
  </si>
  <si>
    <t xml:space="preserve">030-198-955-B</t>
  </si>
  <si>
    <t xml:space="preserve">030-198-955-C</t>
  </si>
  <si>
    <t xml:space="preserve">06J-260-849-D</t>
  </si>
  <si>
    <t xml:space="preserve">5U0-711-049-H</t>
  </si>
  <si>
    <t xml:space="preserve">811-711-279</t>
  </si>
  <si>
    <t xml:space="preserve">823-711-594-B</t>
  </si>
  <si>
    <t xml:space="preserve">823-711-813</t>
  </si>
  <si>
    <t xml:space="preserve">5U0-820-160-A</t>
  </si>
  <si>
    <t xml:space="preserve">1S0-820-411-K</t>
  </si>
  <si>
    <t xml:space="preserve">JZZ-820-803</t>
  </si>
  <si>
    <t xml:space="preserve">1S0-825-250-A</t>
  </si>
  <si>
    <t xml:space="preserve">059-903-137-CC</t>
  </si>
  <si>
    <t xml:space="preserve">06L-903-137-A</t>
  </si>
  <si>
    <t xml:space="preserve">03L-903-191-A</t>
  </si>
  <si>
    <t xml:space="preserve">038-903-315-AN</t>
  </si>
  <si>
    <t xml:space="preserve">1SB-959-455</t>
  </si>
  <si>
    <t xml:space="preserve">5U0-959-493</t>
  </si>
  <si>
    <t xml:space="preserve">2GX-857-705-  -RAA</t>
  </si>
  <si>
    <t xml:space="preserve">2GX-857-706-  -RAA</t>
  </si>
  <si>
    <t xml:space="preserve">Estoque</t>
  </si>
  <si>
    <t xml:space="preserve">Preço Público</t>
  </si>
  <si>
    <t xml:space="preserve">Preencha as colunas B (Estoque) e C (Preço Público) com os dados do extrato do DataLake. Os códigos da coluna A já estão na ordem da aba 'Consolidado'; a busca é feita por INDEX/MATCH, portanto a ordem pode ser alterada sem quebrar as fórmulas.</t>
  </si>
  <si>
    <t xml:space="preserve">Estratégico VW — Planilha Consolidada</t>
  </si>
  <si>
    <t xml:space="preserve">Origem dos dados</t>
  </si>
  <si>
    <t xml:space="preserve">Planilha de origem</t>
  </si>
  <si>
    <t xml:space="preserve">Estratégico PAC VII (aba 'Pedido')</t>
  </si>
  <si>
    <t xml:space="preserve">Coluna H de origem</t>
  </si>
  <si>
    <t xml:space="preserve">Preço Rev. c/ IPI (Promo.)</t>
  </si>
  <si>
    <t xml:space="preserve">Acréscimo Estratégico</t>
  </si>
  <si>
    <t xml:space="preserve">Itens processados</t>
  </si>
  <si>
    <t xml:space="preserve">Como completar</t>
  </si>
  <si>
    <t xml:space="preserve">1</t>
  </si>
  <si>
    <t xml:space="preserve">Cole o extrato do DataLake na aba 'DataLake' (colunas B e C, células amarelas).</t>
  </si>
  <si>
    <t xml:space="preserve">2</t>
  </si>
  <si>
    <t xml:space="preserve">A aba 'Consolidado' preenche Estoque e Preço Público automaticamente por INDEX/MATCH.</t>
  </si>
  <si>
    <t xml:space="preserve">3</t>
  </si>
  <si>
    <t xml:space="preserve">'Pendente' = código presente no extrato mas sem valor; 'Não encontrado' = código ausente do extrato.</t>
  </si>
  <si>
    <t xml:space="preserve">Exemplo de preenchimento na aba DataLake</t>
  </si>
  <si>
    <t xml:space="preserve">Legenda de cores</t>
  </si>
  <si>
    <t xml:space="preserve">Azul</t>
  </si>
  <si>
    <t xml:space="preserve">Valor fixo / entrada manual</t>
  </si>
  <si>
    <t xml:space="preserve">Preto</t>
  </si>
  <si>
    <t xml:space="preserve">Fórmula calculada nesta aba</t>
  </si>
  <si>
    <t xml:space="preserve">Verde</t>
  </si>
  <si>
    <t xml:space="preserve">Fórmula que busca dados em outra aba</t>
  </si>
  <si>
    <t xml:space="preserve">Amarelo</t>
  </si>
  <si>
    <t xml:space="preserve">Célula a ser preenchida pelo usuário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</si>
</sst>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&quot;(R$ 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tr">
        <f aca="false">IFERROR(IF(INDEX(DataLake!$B$2:$B$43,MATCH($A2,DataLake!$A$2:$A$43,0))="","Pendente",INDEX(DataLake!$B$2:$B$43,MATCH($A2,DataLake!$A$2:$A$43,0))),"Não encontrado")</f>
        <v>Pendente</v>
      </c>
      <c r="C2" s="4" t="str">
        <f aca="false">IFERROR(IF(INDEX(DataLake!$C$2:$C$43,MATCH($A2,DataLake!$A$2:$A$43,0))="","Pendente",INDEX(DataLake!$C$2:$C$43,MATCH($A2,DataLake!$A$2:$A$43,0))),"Não encontrado")</f>
        <v>Pendente</v>
      </c>
      <c r="D2" s="5" t="n">
        <v>233.806186025812</v>
      </c>
      <c r="E2" s="6" t="n">
        <f aca="false">D2*(1+Instruções!$B$6)</f>
        <v>327.328660436137</v>
      </c>
    </row>
    <row r="3" customFormat="false" ht="15" hidden="false" customHeight="false" outlineLevel="0" collapsed="false">
      <c r="A3" s="2" t="s">
        <v>6</v>
      </c>
      <c r="B3" s="3" t="str">
        <f aca="false">IFERROR(IF(INDEX(DataLake!$B$2:$B$43,MATCH($A3,DataLake!$A$2:$A$43,0))="","Pendente",INDEX(DataLake!$B$2:$B$43,MATCH($A3,DataLake!$A$2:$A$43,0))),"Não encontrado")</f>
        <v>Pendente</v>
      </c>
      <c r="C3" s="4" t="str">
        <f aca="false">IFERROR(IF(INDEX(DataLake!$C$2:$C$43,MATCH($A3,DataLake!$A$2:$A$43,0))="","Pendente",INDEX(DataLake!$C$2:$C$43,MATCH($A3,DataLake!$A$2:$A$43,0))),"Não encontrado")</f>
        <v>Pendente</v>
      </c>
      <c r="D3" s="5" t="n">
        <v>1517.82376502003</v>
      </c>
      <c r="E3" s="6" t="n">
        <f aca="false">D3*(1+Instruções!$B$6)</f>
        <v>2124.95327102804</v>
      </c>
    </row>
    <row r="4" customFormat="false" ht="15" hidden="false" customHeight="false" outlineLevel="0" collapsed="false">
      <c r="A4" s="2" t="s">
        <v>7</v>
      </c>
      <c r="B4" s="3" t="str">
        <f aca="false">IFERROR(IF(INDEX(DataLake!$B$2:$B$43,MATCH($A4,DataLake!$A$2:$A$43,0))="","Pendente",INDEX(DataLake!$B$2:$B$43,MATCH($A4,DataLake!$A$2:$A$43,0))),"Não encontrado")</f>
        <v>Pendente</v>
      </c>
      <c r="C4" s="4" t="str">
        <f aca="false">IFERROR(IF(INDEX(DataLake!$C$2:$C$43,MATCH($A4,DataLake!$A$2:$A$43,0))="","Pendente",INDEX(DataLake!$C$2:$C$43,MATCH($A4,DataLake!$A$2:$A$43,0))),"Não encontrado")</f>
        <v>Pendente</v>
      </c>
      <c r="D4" s="5" t="n">
        <v>248.371161548732</v>
      </c>
      <c r="E4" s="6" t="n">
        <f aca="false">D4*(1+Instruções!$B$6)</f>
        <v>347.719626168224</v>
      </c>
    </row>
    <row r="5" customFormat="false" ht="15" hidden="false" customHeight="false" outlineLevel="0" collapsed="false">
      <c r="A5" s="2" t="s">
        <v>8</v>
      </c>
      <c r="B5" s="3" t="str">
        <f aca="false">IFERROR(IF(INDEX(DataLake!$B$2:$B$43,MATCH($A5,DataLake!$A$2:$A$43,0))="","Pendente",INDEX(DataLake!$B$2:$B$43,MATCH($A5,DataLake!$A$2:$A$43,0))),"Não encontrado")</f>
        <v>Pendente</v>
      </c>
      <c r="C5" s="4" t="str">
        <f aca="false">IFERROR(IF(INDEX(DataLake!$C$2:$C$43,MATCH($A5,DataLake!$A$2:$A$43,0))="","Pendente",INDEX(DataLake!$C$2:$C$43,MATCH($A5,DataLake!$A$2:$A$43,0))),"Não encontrado")</f>
        <v>Pendente</v>
      </c>
      <c r="D5" s="5" t="n">
        <v>15.0402536715621</v>
      </c>
      <c r="E5" s="6" t="n">
        <f aca="false">D5*(1+Instruções!$B$6)</f>
        <v>21.0563551401869</v>
      </c>
    </row>
    <row r="6" customFormat="false" ht="15" hidden="false" customHeight="false" outlineLevel="0" collapsed="false">
      <c r="A6" s="2" t="s">
        <v>9</v>
      </c>
      <c r="B6" s="3" t="str">
        <f aca="false">IFERROR(IF(INDEX(DataLake!$B$2:$B$43,MATCH($A6,DataLake!$A$2:$A$43,0))="","Pendente",INDEX(DataLake!$B$2:$B$43,MATCH($A6,DataLake!$A$2:$A$43,0))),"Não encontrado")</f>
        <v>Pendente</v>
      </c>
      <c r="C6" s="4" t="str">
        <f aca="false">IFERROR(IF(INDEX(DataLake!$C$2:$C$43,MATCH($A6,DataLake!$A$2:$A$43,0))="","Pendente",INDEX(DataLake!$C$2:$C$43,MATCH($A6,DataLake!$A$2:$A$43,0))),"Não encontrado")</f>
        <v>Pendente</v>
      </c>
      <c r="D6" s="5" t="n">
        <v>1149.86648865154</v>
      </c>
      <c r="E6" s="6" t="n">
        <f aca="false">D6*(1+Instruções!$B$6)</f>
        <v>1609.81308411215</v>
      </c>
    </row>
    <row r="7" customFormat="false" ht="15" hidden="false" customHeight="false" outlineLevel="0" collapsed="false">
      <c r="A7" s="2" t="s">
        <v>10</v>
      </c>
      <c r="B7" s="3" t="str">
        <f aca="false">IFERROR(IF(INDEX(DataLake!$B$2:$B$43,MATCH($A7,DataLake!$A$2:$A$43,0))="","Pendente",INDEX(DataLake!$B$2:$B$43,MATCH($A7,DataLake!$A$2:$A$43,0))),"Não encontrado")</f>
        <v>Pendente</v>
      </c>
      <c r="C7" s="4" t="str">
        <f aca="false">IFERROR(IF(INDEX(DataLake!$C$2:$C$43,MATCH($A7,DataLake!$A$2:$A$43,0))="","Pendente",INDEX(DataLake!$C$2:$C$43,MATCH($A7,DataLake!$A$2:$A$43,0))),"Não encontrado")</f>
        <v>Pendente</v>
      </c>
      <c r="D7" s="5" t="n">
        <v>1083.62857142857</v>
      </c>
      <c r="E7" s="6" t="n">
        <f aca="false">D7*(1+Instruções!$B$6)</f>
        <v>1517.08</v>
      </c>
    </row>
    <row r="8" customFormat="false" ht="15" hidden="false" customHeight="false" outlineLevel="0" collapsed="false">
      <c r="A8" s="2" t="s">
        <v>11</v>
      </c>
      <c r="B8" s="3" t="str">
        <f aca="false">IFERROR(IF(INDEX(DataLake!$B$2:$B$43,MATCH($A8,DataLake!$A$2:$A$43,0))="","Pendente",INDEX(DataLake!$B$2:$B$43,MATCH($A8,DataLake!$A$2:$A$43,0))),"Não encontrado")</f>
        <v>Pendente</v>
      </c>
      <c r="C8" s="4" t="str">
        <f aca="false">IFERROR(IF(INDEX(DataLake!$C$2:$C$43,MATCH($A8,DataLake!$A$2:$A$43,0))="","Pendente",INDEX(DataLake!$C$2:$C$43,MATCH($A8,DataLake!$A$2:$A$43,0))),"Não encontrado")</f>
        <v>Pendente</v>
      </c>
      <c r="D8" s="5" t="n">
        <v>1524.28571428571</v>
      </c>
      <c r="E8" s="6" t="n">
        <f aca="false">D8*(1+Instruções!$B$6)</f>
        <v>2134</v>
      </c>
    </row>
    <row r="9" customFormat="false" ht="15" hidden="false" customHeight="false" outlineLevel="0" collapsed="false">
      <c r="A9" s="2" t="s">
        <v>12</v>
      </c>
      <c r="B9" s="3" t="str">
        <f aca="false">IFERROR(IF(INDEX(DataLake!$B$2:$B$43,MATCH($A9,DataLake!$A$2:$A$43,0))="","Pendente",INDEX(DataLake!$B$2:$B$43,MATCH($A9,DataLake!$A$2:$A$43,0))),"Não encontrado")</f>
        <v>Pendente</v>
      </c>
      <c r="C9" s="4" t="str">
        <f aca="false">IFERROR(IF(INDEX(DataLake!$C$2:$C$43,MATCH($A9,DataLake!$A$2:$A$43,0))="","Pendente",INDEX(DataLake!$C$2:$C$43,MATCH($A9,DataLake!$A$2:$A$43,0))),"Não encontrado")</f>
        <v>Pendente</v>
      </c>
      <c r="D9" s="5" t="n">
        <v>239.172229639519</v>
      </c>
      <c r="E9" s="6" t="n">
        <f aca="false">D9*(1+Instruções!$B$6)</f>
        <v>334.841121495327</v>
      </c>
    </row>
    <row r="10" customFormat="false" ht="15" hidden="false" customHeight="false" outlineLevel="0" collapsed="false">
      <c r="A10" s="2" t="s">
        <v>13</v>
      </c>
      <c r="B10" s="3" t="str">
        <f aca="false">IFERROR(IF(INDEX(DataLake!$B$2:$B$43,MATCH($A10,DataLake!$A$2:$A$43,0))="","Pendente",INDEX(DataLake!$B$2:$B$43,MATCH($A10,DataLake!$A$2:$A$43,0))),"Não encontrado")</f>
        <v>Pendente</v>
      </c>
      <c r="C10" s="4" t="str">
        <f aca="false">IFERROR(IF(INDEX(DataLake!$C$2:$C$43,MATCH($A10,DataLake!$A$2:$A$43,0))="","Pendente",INDEX(DataLake!$C$2:$C$43,MATCH($A10,DataLake!$A$2:$A$43,0))),"Não encontrado")</f>
        <v>Pendente</v>
      </c>
      <c r="D10" s="5" t="n">
        <v>910.694259012016</v>
      </c>
      <c r="E10" s="6" t="n">
        <f aca="false">D10*(1+Instruções!$B$6)</f>
        <v>1274.97196261682</v>
      </c>
    </row>
    <row r="11" customFormat="false" ht="15" hidden="false" customHeight="false" outlineLevel="0" collapsed="false">
      <c r="A11" s="2" t="s">
        <v>14</v>
      </c>
      <c r="B11" s="3" t="str">
        <f aca="false">IFERROR(IF(INDEX(DataLake!$B$2:$B$43,MATCH($A11,DataLake!$A$2:$A$43,0))="","Pendente",INDEX(DataLake!$B$2:$B$43,MATCH($A11,DataLake!$A$2:$A$43,0))),"Não encontrado")</f>
        <v>Pendente</v>
      </c>
      <c r="C11" s="4" t="str">
        <f aca="false">IFERROR(IF(INDEX(DataLake!$C$2:$C$43,MATCH($A11,DataLake!$A$2:$A$43,0))="","Pendente",INDEX(DataLake!$C$2:$C$43,MATCH($A11,DataLake!$A$2:$A$43,0))),"Não encontrado")</f>
        <v>Pendente</v>
      </c>
      <c r="D11" s="5" t="n">
        <v>275.967957276369</v>
      </c>
      <c r="E11" s="6" t="n">
        <f aca="false">D11*(1+Instruções!$B$6)</f>
        <v>386.355140186916</v>
      </c>
    </row>
    <row r="12" customFormat="false" ht="15" hidden="false" customHeight="false" outlineLevel="0" collapsed="false">
      <c r="A12" s="2" t="s">
        <v>15</v>
      </c>
      <c r="B12" s="3" t="str">
        <f aca="false">IFERROR(IF(INDEX(DataLake!$B$2:$B$43,MATCH($A12,DataLake!$A$2:$A$43,0))="","Pendente",INDEX(DataLake!$B$2:$B$43,MATCH($A12,DataLake!$A$2:$A$43,0))),"Não encontrado")</f>
        <v>Pendente</v>
      </c>
      <c r="C12" s="4" t="str">
        <f aca="false">IFERROR(IF(INDEX(DataLake!$C$2:$C$43,MATCH($A12,DataLake!$A$2:$A$43,0))="","Pendente",INDEX(DataLake!$C$2:$C$43,MATCH($A12,DataLake!$A$2:$A$43,0))),"Não encontrado")</f>
        <v>Pendente</v>
      </c>
      <c r="D12" s="5" t="n">
        <v>126.301335113485</v>
      </c>
      <c r="E12" s="6" t="n">
        <f aca="false">D12*(1+Instruções!$B$6)</f>
        <v>176.821869158879</v>
      </c>
    </row>
    <row r="13" customFormat="false" ht="15" hidden="false" customHeight="false" outlineLevel="0" collapsed="false">
      <c r="A13" s="2" t="s">
        <v>16</v>
      </c>
      <c r="B13" s="3" t="str">
        <f aca="false">IFERROR(IF(INDEX(DataLake!$B$2:$B$43,MATCH($A13,DataLake!$A$2:$A$43,0))="","Pendente",INDEX(DataLake!$B$2:$B$43,MATCH($A13,DataLake!$A$2:$A$43,0))),"Não encontrado")</f>
        <v>Pendente</v>
      </c>
      <c r="C13" s="4" t="str">
        <f aca="false">IFERROR(IF(INDEX(DataLake!$C$2:$C$43,MATCH($A13,DataLake!$A$2:$A$43,0))="","Pendente",INDEX(DataLake!$C$2:$C$43,MATCH($A13,DataLake!$A$2:$A$43,0))),"Não encontrado")</f>
        <v>Pendente</v>
      </c>
      <c r="D13" s="5" t="n">
        <v>37.1636849132176</v>
      </c>
      <c r="E13" s="6" t="n">
        <f aca="false">D13*(1+Instruções!$B$6)</f>
        <v>52.0291588785047</v>
      </c>
    </row>
    <row r="14" customFormat="false" ht="15" hidden="false" customHeight="false" outlineLevel="0" collapsed="false">
      <c r="A14" s="2" t="s">
        <v>17</v>
      </c>
      <c r="B14" s="3" t="str">
        <f aca="false">IFERROR(IF(INDEX(DataLake!$B$2:$B$43,MATCH($A14,DataLake!$A$2:$A$43,0))="","Pendente",INDEX(DataLake!$B$2:$B$43,MATCH($A14,DataLake!$A$2:$A$43,0))),"Não encontrado")</f>
        <v>Pendente</v>
      </c>
      <c r="C14" s="4" t="str">
        <f aca="false">IFERROR(IF(INDEX(DataLake!$C$2:$C$43,MATCH($A14,DataLake!$A$2:$A$43,0))="","Pendente",INDEX(DataLake!$C$2:$C$43,MATCH($A14,DataLake!$A$2:$A$43,0))),"Não encontrado")</f>
        <v>Pendente</v>
      </c>
      <c r="D14" s="5" t="n">
        <v>21.5714953271028</v>
      </c>
      <c r="E14" s="6" t="n">
        <f aca="false">D14*(1+Instruções!$B$6)</f>
        <v>30.2000934579439</v>
      </c>
    </row>
    <row r="15" customFormat="false" ht="15" hidden="false" customHeight="false" outlineLevel="0" collapsed="false">
      <c r="A15" s="2" t="s">
        <v>18</v>
      </c>
      <c r="B15" s="3" t="str">
        <f aca="false">IFERROR(IF(INDEX(DataLake!$B$2:$B$43,MATCH($A15,DataLake!$A$2:$A$43,0))="","Pendente",INDEX(DataLake!$B$2:$B$43,MATCH($A15,DataLake!$A$2:$A$43,0))),"Não encontrado")</f>
        <v>Pendente</v>
      </c>
      <c r="C15" s="4" t="str">
        <f aca="false">IFERROR(IF(INDEX(DataLake!$C$2:$C$43,MATCH($A15,DataLake!$A$2:$A$43,0))="","Pendente",INDEX(DataLake!$C$2:$C$43,MATCH($A15,DataLake!$A$2:$A$43,0))),"Não encontrado")</f>
        <v>Pendente</v>
      </c>
      <c r="D15" s="5" t="n">
        <v>73.9047619047619</v>
      </c>
      <c r="E15" s="6" t="n">
        <f aca="false">D15*(1+Instruções!$B$6)</f>
        <v>103.466666666667</v>
      </c>
    </row>
    <row r="16" customFormat="false" ht="15" hidden="false" customHeight="false" outlineLevel="0" collapsed="false">
      <c r="A16" s="2" t="s">
        <v>19</v>
      </c>
      <c r="B16" s="3" t="str">
        <f aca="false">IFERROR(IF(INDEX(DataLake!$B$2:$B$43,MATCH($A16,DataLake!$A$2:$A$43,0))="","Pendente",INDEX(DataLake!$B$2:$B$43,MATCH($A16,DataLake!$A$2:$A$43,0))),"Não encontrado")</f>
        <v>Pendente</v>
      </c>
      <c r="C16" s="4" t="str">
        <f aca="false">IFERROR(IF(INDEX(DataLake!$C$2:$C$43,MATCH($A16,DataLake!$A$2:$A$43,0))="","Pendente",INDEX(DataLake!$C$2:$C$43,MATCH($A16,DataLake!$A$2:$A$43,0))),"Não encontrado")</f>
        <v>Pendente</v>
      </c>
      <c r="D16" s="5" t="n">
        <v>83.1428571428571</v>
      </c>
      <c r="E16" s="6" t="n">
        <f aca="false">D16*(1+Instruções!$B$6)</f>
        <v>116.4</v>
      </c>
    </row>
    <row r="17" customFormat="false" ht="15" hidden="false" customHeight="false" outlineLevel="0" collapsed="false">
      <c r="A17" s="2" t="s">
        <v>20</v>
      </c>
      <c r="B17" s="3" t="str">
        <f aca="false">IFERROR(IF(INDEX(DataLake!$B$2:$B$43,MATCH($A17,DataLake!$A$2:$A$43,0))="","Pendente",INDEX(DataLake!$B$2:$B$43,MATCH($A17,DataLake!$A$2:$A$43,0))),"Não encontrado")</f>
        <v>Pendente</v>
      </c>
      <c r="C17" s="4" t="str">
        <f aca="false">IFERROR(IF(INDEX(DataLake!$C$2:$C$43,MATCH($A17,DataLake!$A$2:$A$43,0))="","Pendente",INDEX(DataLake!$C$2:$C$43,MATCH($A17,DataLake!$A$2:$A$43,0))),"Não encontrado")</f>
        <v>Pendente</v>
      </c>
      <c r="D17" s="5" t="n">
        <v>275.967957276369</v>
      </c>
      <c r="E17" s="6" t="n">
        <f aca="false">D17*(1+Instruções!$B$6)</f>
        <v>386.355140186916</v>
      </c>
    </row>
    <row r="18" customFormat="false" ht="15" hidden="false" customHeight="false" outlineLevel="0" collapsed="false">
      <c r="A18" s="2" t="s">
        <v>21</v>
      </c>
      <c r="B18" s="3" t="str">
        <f aca="false">IFERROR(IF(INDEX(DataLake!$B$2:$B$43,MATCH($A18,DataLake!$A$2:$A$43,0))="","Pendente",INDEX(DataLake!$B$2:$B$43,MATCH($A18,DataLake!$A$2:$A$43,0))),"Não encontrado")</f>
        <v>Pendente</v>
      </c>
      <c r="C18" s="4" t="str">
        <f aca="false">IFERROR(IF(INDEX(DataLake!$C$2:$C$43,MATCH($A18,DataLake!$A$2:$A$43,0))="","Pendente",INDEX(DataLake!$C$2:$C$43,MATCH($A18,DataLake!$A$2:$A$43,0))),"Não encontrado")</f>
        <v>Pendente</v>
      </c>
      <c r="D18" s="5" t="n">
        <v>565.734312416556</v>
      </c>
      <c r="E18" s="6" t="n">
        <f aca="false">D18*(1+Instruções!$B$6)</f>
        <v>792.028037383178</v>
      </c>
    </row>
    <row r="19" customFormat="false" ht="15" hidden="false" customHeight="false" outlineLevel="0" collapsed="false">
      <c r="A19" s="2" t="s">
        <v>22</v>
      </c>
      <c r="B19" s="3" t="str">
        <f aca="false">IFERROR(IF(INDEX(DataLake!$B$2:$B$43,MATCH($A19,DataLake!$A$2:$A$43,0))="","Pendente",INDEX(DataLake!$B$2:$B$43,MATCH($A19,DataLake!$A$2:$A$43,0))),"Não encontrado")</f>
        <v>Pendente</v>
      </c>
      <c r="C19" s="4" t="str">
        <f aca="false">IFERROR(IF(INDEX(DataLake!$C$2:$C$43,MATCH($A19,DataLake!$A$2:$A$43,0))="","Pendente",INDEX(DataLake!$C$2:$C$43,MATCH($A19,DataLake!$A$2:$A$43,0))),"Não encontrado")</f>
        <v>Pendente</v>
      </c>
      <c r="D19" s="5" t="n">
        <v>612.648865153538</v>
      </c>
      <c r="E19" s="6" t="n">
        <f aca="false">D19*(1+Instruções!$B$6)</f>
        <v>857.708411214954</v>
      </c>
    </row>
    <row r="20" customFormat="false" ht="15" hidden="false" customHeight="false" outlineLevel="0" collapsed="false">
      <c r="A20" s="2" t="s">
        <v>23</v>
      </c>
      <c r="B20" s="3" t="str">
        <f aca="false">IFERROR(IF(INDEX(DataLake!$B$2:$B$43,MATCH($A20,DataLake!$A$2:$A$43,0))="","Pendente",INDEX(DataLake!$B$2:$B$43,MATCH($A20,DataLake!$A$2:$A$43,0))),"Não encontrado")</f>
        <v>Pendente</v>
      </c>
      <c r="C20" s="4" t="str">
        <f aca="false">IFERROR(IF(INDEX(DataLake!$C$2:$C$43,MATCH($A20,DataLake!$A$2:$A$43,0))="","Pendente",INDEX(DataLake!$C$2:$C$43,MATCH($A20,DataLake!$A$2:$A$43,0))),"Não encontrado")</f>
        <v>Pendente</v>
      </c>
      <c r="D20" s="5" t="n">
        <v>43.3266666666667</v>
      </c>
      <c r="E20" s="6" t="n">
        <f aca="false">D20*(1+Instruções!$B$6)</f>
        <v>60.6573333333333</v>
      </c>
    </row>
    <row r="21" customFormat="false" ht="15" hidden="false" customHeight="false" outlineLevel="0" collapsed="false">
      <c r="A21" s="2" t="s">
        <v>24</v>
      </c>
      <c r="B21" s="3" t="str">
        <f aca="false">IFERROR(IF(INDEX(DataLake!$B$2:$B$43,MATCH($A21,DataLake!$A$2:$A$43,0))="","Pendente",INDEX(DataLake!$B$2:$B$43,MATCH($A21,DataLake!$A$2:$A$43,0))),"Não encontrado")</f>
        <v>Pendente</v>
      </c>
      <c r="C21" s="4" t="str">
        <f aca="false">IFERROR(IF(INDEX(DataLake!$C$2:$C$43,MATCH($A21,DataLake!$A$2:$A$43,0))="","Pendente",INDEX(DataLake!$C$2:$C$43,MATCH($A21,DataLake!$A$2:$A$43,0))),"Não encontrado")</f>
        <v>Pendente</v>
      </c>
      <c r="D21" s="5" t="n">
        <v>40.934</v>
      </c>
      <c r="E21" s="6" t="n">
        <f aca="false">D21*(1+Instruções!$B$6)</f>
        <v>57.3076</v>
      </c>
    </row>
    <row r="22" customFormat="false" ht="15" hidden="false" customHeight="false" outlineLevel="0" collapsed="false">
      <c r="A22" s="2" t="s">
        <v>25</v>
      </c>
      <c r="B22" s="3" t="str">
        <f aca="false">IFERROR(IF(INDEX(DataLake!$B$2:$B$43,MATCH($A22,DataLake!$A$2:$A$43,0))="","Pendente",INDEX(DataLake!$B$2:$B$43,MATCH($A22,DataLake!$A$2:$A$43,0))),"Não encontrado")</f>
        <v>Pendente</v>
      </c>
      <c r="C22" s="4" t="str">
        <f aca="false">IFERROR(IF(INDEX(DataLake!$C$2:$C$43,MATCH($A22,DataLake!$A$2:$A$43,0))="","Pendente",INDEX(DataLake!$C$2:$C$43,MATCH($A22,DataLake!$A$2:$A$43,0))),"Não encontrado")</f>
        <v>Pendente</v>
      </c>
      <c r="D22" s="5" t="n">
        <v>32.3333333333333</v>
      </c>
      <c r="E22" s="6" t="n">
        <f aca="false">D22*(1+Instruções!$B$6)</f>
        <v>45.2666666666667</v>
      </c>
    </row>
    <row r="23" customFormat="false" ht="15" hidden="false" customHeight="false" outlineLevel="0" collapsed="false">
      <c r="A23" s="2" t="s">
        <v>26</v>
      </c>
      <c r="B23" s="3" t="str">
        <f aca="false">IFERROR(IF(INDEX(DataLake!$B$2:$B$43,MATCH($A23,DataLake!$A$2:$A$43,0))="","Pendente",INDEX(DataLake!$B$2:$B$43,MATCH($A23,DataLake!$A$2:$A$43,0))),"Não encontrado")</f>
        <v>Pendente</v>
      </c>
      <c r="C23" s="4" t="str">
        <f aca="false">IFERROR(IF(INDEX(DataLake!$C$2:$C$43,MATCH($A23,DataLake!$A$2:$A$43,0))="","Pendente",INDEX(DataLake!$C$2:$C$43,MATCH($A23,DataLake!$A$2:$A$43,0))),"Não encontrado")</f>
        <v>Pendente</v>
      </c>
      <c r="D23" s="5" t="n">
        <v>1709.04761904762</v>
      </c>
      <c r="E23" s="6" t="n">
        <f aca="false">D23*(1+Instruções!$B$6)</f>
        <v>2392.66666666667</v>
      </c>
    </row>
    <row r="24" customFormat="false" ht="15" hidden="false" customHeight="false" outlineLevel="0" collapsed="false">
      <c r="A24" s="2" t="s">
        <v>27</v>
      </c>
      <c r="B24" s="3" t="str">
        <f aca="false">IFERROR(IF(INDEX(DataLake!$B$2:$B$43,MATCH($A24,DataLake!$A$2:$A$43,0))="","Pendente",INDEX(DataLake!$B$2:$B$43,MATCH($A24,DataLake!$A$2:$A$43,0))),"Não encontrado")</f>
        <v>Pendente</v>
      </c>
      <c r="C24" s="4" t="str">
        <f aca="false">IFERROR(IF(INDEX(DataLake!$C$2:$C$43,MATCH($A24,DataLake!$A$2:$A$43,0))="","Pendente",INDEX(DataLake!$C$2:$C$43,MATCH($A24,DataLake!$A$2:$A$43,0))),"Não encontrado")</f>
        <v>Pendente</v>
      </c>
      <c r="D24" s="5" t="n">
        <v>68.7314285714286</v>
      </c>
      <c r="E24" s="6" t="n">
        <f aca="false">D24*(1+Instruções!$B$6)</f>
        <v>96.224</v>
      </c>
    </row>
    <row r="25" customFormat="false" ht="15" hidden="false" customHeight="false" outlineLevel="0" collapsed="false">
      <c r="A25" s="2" t="s">
        <v>28</v>
      </c>
      <c r="B25" s="3" t="str">
        <f aca="false">IFERROR(IF(INDEX(DataLake!$B$2:$B$43,MATCH($A25,DataLake!$A$2:$A$43,0))="","Pendente",INDEX(DataLake!$B$2:$B$43,MATCH($A25,DataLake!$A$2:$A$43,0))),"Não encontrado")</f>
        <v>Pendente</v>
      </c>
      <c r="C25" s="4" t="str">
        <f aca="false">IFERROR(IF(INDEX(DataLake!$C$2:$C$43,MATCH($A25,DataLake!$A$2:$A$43,0))="","Pendente",INDEX(DataLake!$C$2:$C$43,MATCH($A25,DataLake!$A$2:$A$43,0))),"Não encontrado")</f>
        <v>Pendente</v>
      </c>
      <c r="D25" s="5" t="n">
        <v>52.7495238095238</v>
      </c>
      <c r="E25" s="6" t="n">
        <f aca="false">D25*(1+Instruções!$B$6)</f>
        <v>73.8493333333334</v>
      </c>
    </row>
    <row r="26" customFormat="false" ht="15" hidden="false" customHeight="false" outlineLevel="0" collapsed="false">
      <c r="A26" s="2" t="s">
        <v>29</v>
      </c>
      <c r="B26" s="3" t="str">
        <f aca="false">IFERROR(IF(INDEX(DataLake!$B$2:$B$43,MATCH($A26,DataLake!$A$2:$A$43,0))="","Pendente",INDEX(DataLake!$B$2:$B$43,MATCH($A26,DataLake!$A$2:$A$43,0))),"Não encontrado")</f>
        <v>Pendente</v>
      </c>
      <c r="C26" s="4" t="str">
        <f aca="false">IFERROR(IF(INDEX(DataLake!$C$2:$C$43,MATCH($A26,DataLake!$A$2:$A$43,0))="","Pendente",INDEX(DataLake!$C$2:$C$43,MATCH($A26,DataLake!$A$2:$A$43,0))),"Não encontrado")</f>
        <v>Pendente</v>
      </c>
      <c r="D26" s="5" t="n">
        <v>37.8761904761905</v>
      </c>
      <c r="E26" s="6" t="n">
        <f aca="false">D26*(1+Instruções!$B$6)</f>
        <v>53.0266666666667</v>
      </c>
    </row>
    <row r="27" customFormat="false" ht="15" hidden="false" customHeight="false" outlineLevel="0" collapsed="false">
      <c r="A27" s="2" t="s">
        <v>30</v>
      </c>
      <c r="B27" s="3" t="str">
        <f aca="false">IFERROR(IF(INDEX(DataLake!$B$2:$B$43,MATCH($A27,DataLake!$A$2:$A$43,0))="","Pendente",INDEX(DataLake!$B$2:$B$43,MATCH($A27,DataLake!$A$2:$A$43,0))),"Não encontrado")</f>
        <v>Pendente</v>
      </c>
      <c r="C27" s="4" t="str">
        <f aca="false">IFERROR(IF(INDEX(DataLake!$C$2:$C$43,MATCH($A27,DataLake!$A$2:$A$43,0))="","Pendente",INDEX(DataLake!$C$2:$C$43,MATCH($A27,DataLake!$A$2:$A$43,0))),"Não encontrado")</f>
        <v>Pendente</v>
      </c>
      <c r="D27" s="5" t="n">
        <v>157.971428571429</v>
      </c>
      <c r="E27" s="6" t="n">
        <f aca="false">D27*(1+Instruções!$B$6)</f>
        <v>221.16</v>
      </c>
    </row>
    <row r="28" customFormat="false" ht="15" hidden="false" customHeight="false" outlineLevel="0" collapsed="false">
      <c r="A28" s="2" t="s">
        <v>31</v>
      </c>
      <c r="B28" s="3" t="str">
        <f aca="false">IFERROR(IF(INDEX(DataLake!$B$2:$B$43,MATCH($A28,DataLake!$A$2:$A$43,0))="","Pendente",INDEX(DataLake!$B$2:$B$43,MATCH($A28,DataLake!$A$2:$A$43,0))),"Não encontrado")</f>
        <v>Pendente</v>
      </c>
      <c r="C28" s="4" t="str">
        <f aca="false">IFERROR(IF(INDEX(DataLake!$C$2:$C$43,MATCH($A28,DataLake!$A$2:$A$43,0))="","Pendente",INDEX(DataLake!$C$2:$C$43,MATCH($A28,DataLake!$A$2:$A$43,0))),"Não encontrado")</f>
        <v>Pendente</v>
      </c>
      <c r="D28" s="5" t="n">
        <v>328.401869158879</v>
      </c>
      <c r="E28" s="6" t="n">
        <f aca="false">D28*(1+Instruções!$B$6)</f>
        <v>459.76261682243</v>
      </c>
    </row>
    <row r="29" customFormat="false" ht="15" hidden="false" customHeight="false" outlineLevel="0" collapsed="false">
      <c r="A29" s="2" t="s">
        <v>32</v>
      </c>
      <c r="B29" s="3" t="str">
        <f aca="false">IFERROR(IF(INDEX(DataLake!$B$2:$B$43,MATCH($A29,DataLake!$A$2:$A$43,0))="","Pendente",INDEX(DataLake!$B$2:$B$43,MATCH($A29,DataLake!$A$2:$A$43,0))),"Não encontrado")</f>
        <v>Pendente</v>
      </c>
      <c r="C29" s="4" t="str">
        <f aca="false">IFERROR(IF(INDEX(DataLake!$C$2:$C$43,MATCH($A29,DataLake!$A$2:$A$43,0))="","Pendente",INDEX(DataLake!$C$2:$C$43,MATCH($A29,DataLake!$A$2:$A$43,0))),"Não encontrado")</f>
        <v>Pendente</v>
      </c>
      <c r="D29" s="5" t="n">
        <v>5.26571428571429</v>
      </c>
      <c r="E29" s="6" t="n">
        <f aca="false">D29*(1+Instruções!$B$6)</f>
        <v>7.372</v>
      </c>
    </row>
    <row r="30" customFormat="false" ht="15" hidden="false" customHeight="false" outlineLevel="0" collapsed="false">
      <c r="A30" s="2" t="s">
        <v>33</v>
      </c>
      <c r="B30" s="3" t="str">
        <f aca="false">IFERROR(IF(INDEX(DataLake!$B$2:$B$43,MATCH($A30,DataLake!$A$2:$A$43,0))="","Pendente",INDEX(DataLake!$B$2:$B$43,MATCH($A30,DataLake!$A$2:$A$43,0))),"Não encontrado")</f>
        <v>Pendente</v>
      </c>
      <c r="C30" s="4" t="str">
        <f aca="false">IFERROR(IF(INDEX(DataLake!$C$2:$C$43,MATCH($A30,DataLake!$A$2:$A$43,0))="","Pendente",INDEX(DataLake!$C$2:$C$43,MATCH($A30,DataLake!$A$2:$A$43,0))),"Não encontrado")</f>
        <v>Pendente</v>
      </c>
      <c r="D30" s="5" t="n">
        <v>6.559722</v>
      </c>
      <c r="E30" s="6" t="n">
        <f aca="false">D30*(1+Instruções!$B$6)</f>
        <v>9.1836108</v>
      </c>
    </row>
    <row r="31" customFormat="false" ht="15" hidden="false" customHeight="false" outlineLevel="0" collapsed="false">
      <c r="A31" s="2" t="s">
        <v>34</v>
      </c>
      <c r="B31" s="3" t="str">
        <f aca="false">IFERROR(IF(INDEX(DataLake!$B$2:$B$43,MATCH($A31,DataLake!$A$2:$A$43,0))="","Pendente",INDEX(DataLake!$B$2:$B$43,MATCH($A31,DataLake!$A$2:$A$43,0))),"Não encontrado")</f>
        <v>Pendente</v>
      </c>
      <c r="C31" s="4" t="str">
        <f aca="false">IFERROR(IF(INDEX(DataLake!$C$2:$C$43,MATCH($A31,DataLake!$A$2:$A$43,0))="","Pendente",INDEX(DataLake!$C$2:$C$43,MATCH($A31,DataLake!$A$2:$A$43,0))),"Não encontrado")</f>
        <v>Pendente</v>
      </c>
      <c r="D31" s="5" t="n">
        <v>3.6952380952381</v>
      </c>
      <c r="E31" s="6" t="n">
        <f aca="false">D31*(1+Instruções!$B$6)</f>
        <v>5.17333333333333</v>
      </c>
    </row>
    <row r="32" customFormat="false" ht="15" hidden="false" customHeight="false" outlineLevel="0" collapsed="false">
      <c r="A32" s="2" t="s">
        <v>35</v>
      </c>
      <c r="B32" s="3" t="str">
        <f aca="false">IFERROR(IF(INDEX(DataLake!$B$2:$B$43,MATCH($A32,DataLake!$A$2:$A$43,0))="","Pendente",INDEX(DataLake!$B$2:$B$43,MATCH($A32,DataLake!$A$2:$A$43,0))),"Não encontrado")</f>
        <v>Pendente</v>
      </c>
      <c r="C32" s="4" t="str">
        <f aca="false">IFERROR(IF(INDEX(DataLake!$C$2:$C$43,MATCH($A32,DataLake!$A$2:$A$43,0))="","Pendente",INDEX(DataLake!$C$2:$C$43,MATCH($A32,DataLake!$A$2:$A$43,0))),"Não encontrado")</f>
        <v>Pendente</v>
      </c>
      <c r="D32" s="5" t="n">
        <v>11.4986648865154</v>
      </c>
      <c r="E32" s="6" t="n">
        <f aca="false">D32*(1+Instruções!$B$6)</f>
        <v>16.0981308411215</v>
      </c>
    </row>
    <row r="33" customFormat="false" ht="15" hidden="false" customHeight="false" outlineLevel="0" collapsed="false">
      <c r="A33" s="2" t="s">
        <v>36</v>
      </c>
      <c r="B33" s="3" t="str">
        <f aca="false">IFERROR(IF(INDEX(DataLake!$B$2:$B$43,MATCH($A33,DataLake!$A$2:$A$43,0))="","Pendente",INDEX(DataLake!$B$2:$B$43,MATCH($A33,DataLake!$A$2:$A$43,0))),"Não encontrado")</f>
        <v>Pendente</v>
      </c>
      <c r="C33" s="4" t="str">
        <f aca="false">IFERROR(IF(INDEX(DataLake!$C$2:$C$43,MATCH($A33,DataLake!$A$2:$A$43,0))="","Pendente",INDEX(DataLake!$C$2:$C$43,MATCH($A33,DataLake!$A$2:$A$43,0))),"Não encontrado")</f>
        <v>Pendente</v>
      </c>
      <c r="D33" s="5" t="n">
        <v>757.52380952381</v>
      </c>
      <c r="E33" s="6" t="n">
        <f aca="false">D33*(1+Instruções!$B$6)</f>
        <v>1060.53333333333</v>
      </c>
    </row>
    <row r="34" customFormat="false" ht="15" hidden="false" customHeight="false" outlineLevel="0" collapsed="false">
      <c r="A34" s="2" t="s">
        <v>37</v>
      </c>
      <c r="B34" s="3" t="str">
        <f aca="false">IFERROR(IF(INDEX(DataLake!$B$2:$B$43,MATCH($A34,DataLake!$A$2:$A$43,0))="","Pendente",INDEX(DataLake!$B$2:$B$43,MATCH($A34,DataLake!$A$2:$A$43,0))),"Não encontrado")</f>
        <v>Pendente</v>
      </c>
      <c r="C34" s="4" t="str">
        <f aca="false">IFERROR(IF(INDEX(DataLake!$C$2:$C$43,MATCH($A34,DataLake!$A$2:$A$43,0))="","Pendente",INDEX(DataLake!$C$2:$C$43,MATCH($A34,DataLake!$A$2:$A$43,0))),"Não encontrado")</f>
        <v>Pendente</v>
      </c>
      <c r="D34" s="5" t="n">
        <v>1228.66666666667</v>
      </c>
      <c r="E34" s="6" t="n">
        <f aca="false">D34*(1+Instruções!$B$6)</f>
        <v>1720.13333333333</v>
      </c>
    </row>
    <row r="35" customFormat="false" ht="15" hidden="false" customHeight="false" outlineLevel="0" collapsed="false">
      <c r="A35" s="2" t="s">
        <v>38</v>
      </c>
      <c r="B35" s="3" t="str">
        <f aca="false">IFERROR(IF(INDEX(DataLake!$B$2:$B$43,MATCH($A35,DataLake!$A$2:$A$43,0))="","Pendente",INDEX(DataLake!$B$2:$B$43,MATCH($A35,DataLake!$A$2:$A$43,0))),"Não encontrado")</f>
        <v>Pendente</v>
      </c>
      <c r="C35" s="4" t="str">
        <f aca="false">IFERROR(IF(INDEX(DataLake!$C$2:$C$43,MATCH($A35,DataLake!$A$2:$A$43,0))="","Pendente",INDEX(DataLake!$C$2:$C$43,MATCH($A35,DataLake!$A$2:$A$43,0))),"Não encontrado")</f>
        <v>Pendente</v>
      </c>
      <c r="D35" s="5" t="n">
        <v>30.1851451935915</v>
      </c>
      <c r="E35" s="6" t="n">
        <f aca="false">D35*(1+Instruções!$B$6)</f>
        <v>42.259203271028</v>
      </c>
    </row>
    <row r="36" customFormat="false" ht="15" hidden="false" customHeight="false" outlineLevel="0" collapsed="false">
      <c r="A36" s="2" t="s">
        <v>39</v>
      </c>
      <c r="B36" s="3" t="str">
        <f aca="false">IFERROR(IF(INDEX(DataLake!$B$2:$B$43,MATCH($A36,DataLake!$A$2:$A$43,0))="","Pendente",INDEX(DataLake!$B$2:$B$43,MATCH($A36,DataLake!$A$2:$A$43,0))),"Não encontrado")</f>
        <v>Pendente</v>
      </c>
      <c r="C36" s="4" t="str">
        <f aca="false">IFERROR(IF(INDEX(DataLake!$C$2:$C$43,MATCH($A36,DataLake!$A$2:$A$43,0))="","Pendente",INDEX(DataLake!$C$2:$C$43,MATCH($A36,DataLake!$A$2:$A$43,0))),"Não encontrado")</f>
        <v>Pendente</v>
      </c>
      <c r="D36" s="5" t="n">
        <v>277.142857142857</v>
      </c>
      <c r="E36" s="6" t="n">
        <f aca="false">D36*(1+Instruções!$B$6)</f>
        <v>388</v>
      </c>
    </row>
    <row r="37" customFormat="false" ht="15" hidden="false" customHeight="false" outlineLevel="0" collapsed="false">
      <c r="A37" s="2" t="s">
        <v>40</v>
      </c>
      <c r="B37" s="3" t="str">
        <f aca="false">IFERROR(IF(INDEX(DataLake!$B$2:$B$43,MATCH($A37,DataLake!$A$2:$A$43,0))="","Pendente",INDEX(DataLake!$B$2:$B$43,MATCH($A37,DataLake!$A$2:$A$43,0))),"Não encontrado")</f>
        <v>Pendente</v>
      </c>
      <c r="C37" s="4" t="str">
        <f aca="false">IFERROR(IF(INDEX(DataLake!$C$2:$C$43,MATCH($A37,DataLake!$A$2:$A$43,0))="","Pendente",INDEX(DataLake!$C$2:$C$43,MATCH($A37,DataLake!$A$2:$A$43,0))),"Não encontrado")</f>
        <v>Pendente</v>
      </c>
      <c r="D37" s="5" t="n">
        <v>161.666666666667</v>
      </c>
      <c r="E37" s="6" t="n">
        <f aca="false">D37*(1+Instruções!$B$6)</f>
        <v>226.333333333333</v>
      </c>
    </row>
    <row r="38" customFormat="false" ht="15" hidden="false" customHeight="false" outlineLevel="0" collapsed="false">
      <c r="A38" s="2" t="s">
        <v>41</v>
      </c>
      <c r="B38" s="3" t="str">
        <f aca="false">IFERROR(IF(INDEX(DataLake!$B$2:$B$43,MATCH($A38,DataLake!$A$2:$A$43,0))="","Pendente",INDEX(DataLake!$B$2:$B$43,MATCH($A38,DataLake!$A$2:$A$43,0))),"Não encontrado")</f>
        <v>Pendente</v>
      </c>
      <c r="C38" s="4" t="str">
        <f aca="false">IFERROR(IF(INDEX(DataLake!$C$2:$C$43,MATCH($A38,DataLake!$A$2:$A$43,0))="","Pendente",INDEX(DataLake!$C$2:$C$43,MATCH($A38,DataLake!$A$2:$A$43,0))),"Não encontrado")</f>
        <v>Pendente</v>
      </c>
      <c r="D38" s="5" t="n">
        <v>348.639519359146</v>
      </c>
      <c r="E38" s="6" t="n">
        <f aca="false">D38*(1+Instruções!$B$6)</f>
        <v>488.095327102804</v>
      </c>
    </row>
    <row r="39" customFormat="false" ht="15" hidden="false" customHeight="false" outlineLevel="0" collapsed="false">
      <c r="A39" s="2" t="s">
        <v>42</v>
      </c>
      <c r="B39" s="3" t="str">
        <f aca="false">IFERROR(IF(INDEX(DataLake!$B$2:$B$43,MATCH($A39,DataLake!$A$2:$A$43,0))="","Pendente",INDEX(DataLake!$B$2:$B$43,MATCH($A39,DataLake!$A$2:$A$43,0))),"Não encontrado")</f>
        <v>Pendente</v>
      </c>
      <c r="C39" s="4" t="str">
        <f aca="false">IFERROR(IF(INDEX(DataLake!$C$2:$C$43,MATCH($A39,DataLake!$A$2:$A$43,0))="","Pendente",INDEX(DataLake!$C$2:$C$43,MATCH($A39,DataLake!$A$2:$A$43,0))),"Não encontrado")</f>
        <v>Pendente</v>
      </c>
      <c r="D39" s="5" t="n">
        <v>469.145527369826</v>
      </c>
      <c r="E39" s="6" t="n">
        <f aca="false">D39*(1+Instruções!$B$6)</f>
        <v>656.803738317757</v>
      </c>
    </row>
    <row r="40" customFormat="false" ht="15" hidden="false" customHeight="false" outlineLevel="0" collapsed="false">
      <c r="A40" s="2" t="s">
        <v>43</v>
      </c>
      <c r="B40" s="3" t="str">
        <f aca="false">IFERROR(IF(INDEX(DataLake!$B$2:$B$43,MATCH($A40,DataLake!$A$2:$A$43,0))="","Pendente",INDEX(DataLake!$B$2:$B$43,MATCH($A40,DataLake!$A$2:$A$43,0))),"Não encontrado")</f>
        <v>Pendente</v>
      </c>
      <c r="C40" s="4" t="str">
        <f aca="false">IFERROR(IF(INDEX(DataLake!$C$2:$C$43,MATCH($A40,DataLake!$A$2:$A$43,0))="","Pendente",INDEX(DataLake!$C$2:$C$43,MATCH($A40,DataLake!$A$2:$A$43,0))),"Não encontrado")</f>
        <v>Pendente</v>
      </c>
      <c r="D40" s="5" t="n">
        <v>415.714285714286</v>
      </c>
      <c r="E40" s="6" t="n">
        <f aca="false">D40*(1+Instruções!$B$6)</f>
        <v>582</v>
      </c>
    </row>
    <row r="41" customFormat="false" ht="15" hidden="false" customHeight="false" outlineLevel="0" collapsed="false">
      <c r="A41" s="2" t="s">
        <v>44</v>
      </c>
      <c r="B41" s="3" t="str">
        <f aca="false">IFERROR(IF(INDEX(DataLake!$B$2:$B$43,MATCH($A41,DataLake!$A$2:$A$43,0))="","Pendente",INDEX(DataLake!$B$2:$B$43,MATCH($A41,DataLake!$A$2:$A$43,0))),"Não encontrado")</f>
        <v>Pendente</v>
      </c>
      <c r="C41" s="4" t="str">
        <f aca="false">IFERROR(IF(INDEX(DataLake!$C$2:$C$43,MATCH($A41,DataLake!$A$2:$A$43,0))="","Pendente",INDEX(DataLake!$C$2:$C$43,MATCH($A41,DataLake!$A$2:$A$43,0))),"Não encontrado")</f>
        <v>Pendente</v>
      </c>
      <c r="D41" s="5" t="n">
        <v>48.9619047619048</v>
      </c>
      <c r="E41" s="6" t="n">
        <f aca="false">D41*(1+Instruções!$B$6)</f>
        <v>68.5466666666667</v>
      </c>
    </row>
    <row r="42" customFormat="false" ht="15" hidden="false" customHeight="false" outlineLevel="0" collapsed="false">
      <c r="A42" s="2" t="s">
        <v>45</v>
      </c>
      <c r="B42" s="3" t="str">
        <f aca="false">IFERROR(IF(INDEX(DataLake!$B$2:$B$43,MATCH($A42,DataLake!$A$2:$A$43,0))="","Pendente",INDEX(DataLake!$B$2:$B$43,MATCH($A42,DataLake!$A$2:$A$43,0))),"Não encontrado")</f>
        <v>Pendente</v>
      </c>
      <c r="C42" s="4" t="str">
        <f aca="false">IFERROR(IF(INDEX(DataLake!$C$2:$C$43,MATCH($A42,DataLake!$A$2:$A$43,0))="","Pendente",INDEX(DataLake!$C$2:$C$43,MATCH($A42,DataLake!$A$2:$A$43,0))),"Não encontrado")</f>
        <v>Pendente</v>
      </c>
      <c r="D42" s="5" t="n">
        <v>294.365821094793</v>
      </c>
      <c r="E42" s="6" t="n">
        <f aca="false">D42*(1+Instruções!$B$6)</f>
        <v>412.11214953271</v>
      </c>
    </row>
    <row r="43" customFormat="false" ht="15" hidden="false" customHeight="false" outlineLevel="0" collapsed="false">
      <c r="A43" s="2" t="s">
        <v>46</v>
      </c>
      <c r="B43" s="3" t="str">
        <f aca="false">IFERROR(IF(INDEX(DataLake!$B$2:$B$43,MATCH($A43,DataLake!$A$2:$A$43,0))="","Pendente",INDEX(DataLake!$B$2:$B$43,MATCH($A43,DataLake!$A$2:$A$43,0))),"Não encontrado")</f>
        <v>Pendente</v>
      </c>
      <c r="C43" s="4" t="str">
        <f aca="false">IFERROR(IF(INDEX(DataLake!$C$2:$C$43,MATCH($A43,DataLake!$A$2:$A$43,0))="","Pendente",INDEX(DataLake!$C$2:$C$43,MATCH($A43,DataLake!$A$2:$A$43,0))),"Não encontrado")</f>
        <v>Pendente</v>
      </c>
      <c r="D43" s="5" t="n">
        <v>294.365821094793</v>
      </c>
      <c r="E43" s="6" t="n">
        <f aca="false">D43*(1+Instruções!$B$6)</f>
        <v>412.11214953271</v>
      </c>
    </row>
  </sheetData>
  <autoFilter ref="A1:E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7" t="s">
        <v>0</v>
      </c>
      <c r="B1" s="7" t="s">
        <v>47</v>
      </c>
      <c r="C1" s="7" t="s">
        <v>48</v>
      </c>
    </row>
    <row r="2" customFormat="false" ht="15" hidden="false" customHeight="false" outlineLevel="0" collapsed="false">
      <c r="A2" s="2" t="s">
        <v>5</v>
      </c>
      <c r="B2" s="8"/>
      <c r="C2" s="9"/>
    </row>
    <row r="3" customFormat="false" ht="15" hidden="false" customHeight="false" outlineLevel="0" collapsed="false">
      <c r="A3" s="2" t="s">
        <v>6</v>
      </c>
      <c r="B3" s="8"/>
      <c r="C3" s="9"/>
    </row>
    <row r="4" customFormat="false" ht="15" hidden="false" customHeight="false" outlineLevel="0" collapsed="false">
      <c r="A4" s="2" t="s">
        <v>7</v>
      </c>
      <c r="B4" s="8"/>
      <c r="C4" s="9"/>
    </row>
    <row r="5" customFormat="false" ht="15" hidden="false" customHeight="false" outlineLevel="0" collapsed="false">
      <c r="A5" s="2" t="s">
        <v>8</v>
      </c>
      <c r="B5" s="8"/>
      <c r="C5" s="9"/>
    </row>
    <row r="6" customFormat="false" ht="15" hidden="false" customHeight="false" outlineLevel="0" collapsed="false">
      <c r="A6" s="2" t="s">
        <v>9</v>
      </c>
      <c r="B6" s="8"/>
      <c r="C6" s="9"/>
    </row>
    <row r="7" customFormat="false" ht="15" hidden="false" customHeight="false" outlineLevel="0" collapsed="false">
      <c r="A7" s="2" t="s">
        <v>10</v>
      </c>
      <c r="B7" s="8"/>
      <c r="C7" s="9"/>
    </row>
    <row r="8" customFormat="false" ht="15" hidden="false" customHeight="false" outlineLevel="0" collapsed="false">
      <c r="A8" s="2" t="s">
        <v>11</v>
      </c>
      <c r="B8" s="8"/>
      <c r="C8" s="9"/>
    </row>
    <row r="9" customFormat="false" ht="15" hidden="false" customHeight="false" outlineLevel="0" collapsed="false">
      <c r="A9" s="2" t="s">
        <v>12</v>
      </c>
      <c r="B9" s="8"/>
      <c r="C9" s="9"/>
    </row>
    <row r="10" customFormat="false" ht="15" hidden="false" customHeight="false" outlineLevel="0" collapsed="false">
      <c r="A10" s="2" t="s">
        <v>13</v>
      </c>
      <c r="B10" s="8"/>
      <c r="C10" s="9"/>
    </row>
    <row r="11" customFormat="false" ht="15" hidden="false" customHeight="false" outlineLevel="0" collapsed="false">
      <c r="A11" s="2" t="s">
        <v>14</v>
      </c>
      <c r="B11" s="8"/>
      <c r="C11" s="9"/>
    </row>
    <row r="12" customFormat="false" ht="15" hidden="false" customHeight="false" outlineLevel="0" collapsed="false">
      <c r="A12" s="2" t="s">
        <v>15</v>
      </c>
      <c r="B12" s="8"/>
      <c r="C12" s="9"/>
    </row>
    <row r="13" customFormat="false" ht="15" hidden="false" customHeight="false" outlineLevel="0" collapsed="false">
      <c r="A13" s="2" t="s">
        <v>16</v>
      </c>
      <c r="B13" s="8"/>
      <c r="C13" s="9"/>
    </row>
    <row r="14" customFormat="false" ht="15" hidden="false" customHeight="false" outlineLevel="0" collapsed="false">
      <c r="A14" s="2" t="s">
        <v>17</v>
      </c>
      <c r="B14" s="8"/>
      <c r="C14" s="9"/>
    </row>
    <row r="15" customFormat="false" ht="15" hidden="false" customHeight="false" outlineLevel="0" collapsed="false">
      <c r="A15" s="2" t="s">
        <v>18</v>
      </c>
      <c r="B15" s="8"/>
      <c r="C15" s="9"/>
    </row>
    <row r="16" customFormat="false" ht="15" hidden="false" customHeight="false" outlineLevel="0" collapsed="false">
      <c r="A16" s="2" t="s">
        <v>19</v>
      </c>
      <c r="B16" s="8"/>
      <c r="C16" s="9"/>
    </row>
    <row r="17" customFormat="false" ht="15" hidden="false" customHeight="false" outlineLevel="0" collapsed="false">
      <c r="A17" s="2" t="s">
        <v>20</v>
      </c>
      <c r="B17" s="8"/>
      <c r="C17" s="9"/>
    </row>
    <row r="18" customFormat="false" ht="15" hidden="false" customHeight="false" outlineLevel="0" collapsed="false">
      <c r="A18" s="2" t="s">
        <v>21</v>
      </c>
      <c r="B18" s="8"/>
      <c r="C18" s="9"/>
    </row>
    <row r="19" customFormat="false" ht="15" hidden="false" customHeight="false" outlineLevel="0" collapsed="false">
      <c r="A19" s="2" t="s">
        <v>22</v>
      </c>
      <c r="B19" s="8"/>
      <c r="C19" s="9"/>
    </row>
    <row r="20" customFormat="false" ht="15" hidden="false" customHeight="false" outlineLevel="0" collapsed="false">
      <c r="A20" s="2" t="s">
        <v>23</v>
      </c>
      <c r="B20" s="8"/>
      <c r="C20" s="9"/>
    </row>
    <row r="21" customFormat="false" ht="15" hidden="false" customHeight="false" outlineLevel="0" collapsed="false">
      <c r="A21" s="2" t="s">
        <v>24</v>
      </c>
      <c r="B21" s="8"/>
      <c r="C21" s="9"/>
    </row>
    <row r="22" customFormat="false" ht="15" hidden="false" customHeight="false" outlineLevel="0" collapsed="false">
      <c r="A22" s="2" t="s">
        <v>25</v>
      </c>
      <c r="B22" s="8"/>
      <c r="C22" s="9"/>
    </row>
    <row r="23" customFormat="false" ht="15" hidden="false" customHeight="false" outlineLevel="0" collapsed="false">
      <c r="A23" s="2" t="s">
        <v>26</v>
      </c>
      <c r="B23" s="8"/>
      <c r="C23" s="9"/>
    </row>
    <row r="24" customFormat="false" ht="15" hidden="false" customHeight="false" outlineLevel="0" collapsed="false">
      <c r="A24" s="2" t="s">
        <v>27</v>
      </c>
      <c r="B24" s="8"/>
      <c r="C24" s="9"/>
    </row>
    <row r="25" customFormat="false" ht="15" hidden="false" customHeight="false" outlineLevel="0" collapsed="false">
      <c r="A25" s="2" t="s">
        <v>28</v>
      </c>
      <c r="B25" s="8"/>
      <c r="C25" s="9"/>
    </row>
    <row r="26" customFormat="false" ht="15" hidden="false" customHeight="false" outlineLevel="0" collapsed="false">
      <c r="A26" s="2" t="s">
        <v>29</v>
      </c>
      <c r="B26" s="8"/>
      <c r="C26" s="9"/>
    </row>
    <row r="27" customFormat="false" ht="15" hidden="false" customHeight="false" outlineLevel="0" collapsed="false">
      <c r="A27" s="2" t="s">
        <v>30</v>
      </c>
      <c r="B27" s="8"/>
      <c r="C27" s="9"/>
    </row>
    <row r="28" customFormat="false" ht="15" hidden="false" customHeight="false" outlineLevel="0" collapsed="false">
      <c r="A28" s="2" t="s">
        <v>31</v>
      </c>
      <c r="B28" s="8"/>
      <c r="C28" s="9"/>
    </row>
    <row r="29" customFormat="false" ht="15" hidden="false" customHeight="false" outlineLevel="0" collapsed="false">
      <c r="A29" s="2" t="s">
        <v>32</v>
      </c>
      <c r="B29" s="8"/>
      <c r="C29" s="9"/>
    </row>
    <row r="30" customFormat="false" ht="15" hidden="false" customHeight="false" outlineLevel="0" collapsed="false">
      <c r="A30" s="2" t="s">
        <v>33</v>
      </c>
      <c r="B30" s="8"/>
      <c r="C30" s="9"/>
    </row>
    <row r="31" customFormat="false" ht="15" hidden="false" customHeight="false" outlineLevel="0" collapsed="false">
      <c r="A31" s="2" t="s">
        <v>34</v>
      </c>
      <c r="B31" s="8"/>
      <c r="C31" s="9"/>
    </row>
    <row r="32" customFormat="false" ht="15" hidden="false" customHeight="false" outlineLevel="0" collapsed="false">
      <c r="A32" s="2" t="s">
        <v>35</v>
      </c>
      <c r="B32" s="8"/>
      <c r="C32" s="9"/>
    </row>
    <row r="33" customFormat="false" ht="15" hidden="false" customHeight="false" outlineLevel="0" collapsed="false">
      <c r="A33" s="2" t="s">
        <v>36</v>
      </c>
      <c r="B33" s="8"/>
      <c r="C33" s="9"/>
    </row>
    <row r="34" customFormat="false" ht="15" hidden="false" customHeight="false" outlineLevel="0" collapsed="false">
      <c r="A34" s="2" t="s">
        <v>37</v>
      </c>
      <c r="B34" s="8"/>
      <c r="C34" s="9"/>
    </row>
    <row r="35" customFormat="false" ht="15" hidden="false" customHeight="false" outlineLevel="0" collapsed="false">
      <c r="A35" s="2" t="s">
        <v>38</v>
      </c>
      <c r="B35" s="8"/>
      <c r="C35" s="9"/>
    </row>
    <row r="36" customFormat="false" ht="15" hidden="false" customHeight="false" outlineLevel="0" collapsed="false">
      <c r="A36" s="2" t="s">
        <v>39</v>
      </c>
      <c r="B36" s="8"/>
      <c r="C36" s="9"/>
    </row>
    <row r="37" customFormat="false" ht="15" hidden="false" customHeight="false" outlineLevel="0" collapsed="false">
      <c r="A37" s="2" t="s">
        <v>40</v>
      </c>
      <c r="B37" s="8"/>
      <c r="C37" s="9"/>
    </row>
    <row r="38" customFormat="false" ht="15" hidden="false" customHeight="false" outlineLevel="0" collapsed="false">
      <c r="A38" s="2" t="s">
        <v>41</v>
      </c>
      <c r="B38" s="8"/>
      <c r="C38" s="9"/>
    </row>
    <row r="39" customFormat="false" ht="15" hidden="false" customHeight="false" outlineLevel="0" collapsed="false">
      <c r="A39" s="2" t="s">
        <v>42</v>
      </c>
      <c r="B39" s="8"/>
      <c r="C39" s="9"/>
    </row>
    <row r="40" customFormat="false" ht="15" hidden="false" customHeight="false" outlineLevel="0" collapsed="false">
      <c r="A40" s="2" t="s">
        <v>43</v>
      </c>
      <c r="B40" s="8"/>
      <c r="C40" s="9"/>
    </row>
    <row r="41" customFormat="false" ht="15" hidden="false" customHeight="false" outlineLevel="0" collapsed="false">
      <c r="A41" s="2" t="s">
        <v>44</v>
      </c>
      <c r="B41" s="8"/>
      <c r="C41" s="9"/>
    </row>
    <row r="42" customFormat="false" ht="15" hidden="false" customHeight="false" outlineLevel="0" collapsed="false">
      <c r="A42" s="2" t="s">
        <v>45</v>
      </c>
      <c r="B42" s="8"/>
      <c r="C42" s="9"/>
    </row>
    <row r="43" customFormat="false" ht="15" hidden="false" customHeight="false" outlineLevel="0" collapsed="false">
      <c r="A43" s="2" t="s">
        <v>46</v>
      </c>
      <c r="B43" s="8"/>
      <c r="C43" s="9"/>
    </row>
    <row r="45" customFormat="false" ht="15" hidden="false" customHeight="false" outlineLevel="0" collapsed="false">
      <c r="A45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8"/>
  </cols>
  <sheetData>
    <row r="1" customFormat="false" ht="16.15" hidden="false" customHeight="false" outlineLevel="0" collapsed="false">
      <c r="A1" s="11" t="s">
        <v>50</v>
      </c>
    </row>
    <row r="2" customFormat="false" ht="15" hidden="false" customHeight="false" outlineLevel="0" collapsed="false">
      <c r="A2" s="12"/>
    </row>
    <row r="3" customFormat="false" ht="15" hidden="false" customHeight="false" outlineLevel="0" collapsed="false">
      <c r="A3" s="13" t="s">
        <v>51</v>
      </c>
    </row>
    <row r="4" customFormat="false" ht="15" hidden="false" customHeight="false" outlineLevel="0" collapsed="false">
      <c r="A4" s="12" t="s">
        <v>52</v>
      </c>
      <c r="B4" s="12" t="s">
        <v>53</v>
      </c>
    </row>
    <row r="5" customFormat="false" ht="15" hidden="false" customHeight="false" outlineLevel="0" collapsed="false">
      <c r="A5" s="12" t="s">
        <v>54</v>
      </c>
      <c r="B5" s="12" t="s">
        <v>55</v>
      </c>
    </row>
    <row r="6" customFormat="false" ht="15" hidden="false" customHeight="false" outlineLevel="0" collapsed="false">
      <c r="A6" s="12" t="s">
        <v>56</v>
      </c>
      <c r="B6" s="14" t="n">
        <v>0.4</v>
      </c>
    </row>
    <row r="7" customFormat="false" ht="15" hidden="false" customHeight="false" outlineLevel="0" collapsed="false">
      <c r="A7" s="12" t="s">
        <v>57</v>
      </c>
      <c r="B7" s="15" t="n">
        <v>42</v>
      </c>
    </row>
    <row r="8" customFormat="false" ht="15" hidden="false" customHeight="false" outlineLevel="0" collapsed="false">
      <c r="A8" s="12"/>
    </row>
    <row r="9" customFormat="false" ht="15" hidden="false" customHeight="false" outlineLevel="0" collapsed="false">
      <c r="A9" s="13" t="s">
        <v>58</v>
      </c>
    </row>
    <row r="10" customFormat="false" ht="15" hidden="false" customHeight="false" outlineLevel="0" collapsed="false">
      <c r="A10" s="12" t="s">
        <v>59</v>
      </c>
      <c r="B10" s="12" t="s">
        <v>60</v>
      </c>
    </row>
    <row r="11" customFormat="false" ht="15" hidden="false" customHeight="false" outlineLevel="0" collapsed="false">
      <c r="A11" s="12" t="s">
        <v>61</v>
      </c>
      <c r="B11" s="12" t="s">
        <v>62</v>
      </c>
    </row>
    <row r="12" customFormat="false" ht="15" hidden="false" customHeight="false" outlineLevel="0" collapsed="false">
      <c r="A12" s="12" t="s">
        <v>63</v>
      </c>
      <c r="B12" s="12" t="s">
        <v>64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3" t="s">
        <v>65</v>
      </c>
    </row>
    <row r="15" customFormat="false" ht="15" hidden="false" customHeight="false" outlineLevel="0" collapsed="false">
      <c r="A15" s="12" t="s">
        <v>0</v>
      </c>
      <c r="B15" s="12" t="s">
        <v>47</v>
      </c>
    </row>
    <row r="16" customFormat="false" ht="15" hidden="false" customHeight="false" outlineLevel="0" collapsed="false">
      <c r="A16" s="12" t="s">
        <v>5</v>
      </c>
      <c r="B16" s="15" t="n">
        <v>37</v>
      </c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3" t="s">
        <v>66</v>
      </c>
    </row>
    <row r="19" customFormat="false" ht="15" hidden="false" customHeight="false" outlineLevel="0" collapsed="false">
      <c r="A19" s="12" t="s">
        <v>67</v>
      </c>
      <c r="B19" s="12" t="s">
        <v>68</v>
      </c>
    </row>
    <row r="20" customFormat="false" ht="15" hidden="false" customHeight="false" outlineLevel="0" collapsed="false">
      <c r="A20" s="12" t="s">
        <v>69</v>
      </c>
      <c r="B20" s="12" t="s">
        <v>70</v>
      </c>
    </row>
    <row r="21" customFormat="false" ht="15" hidden="false" customHeight="false" outlineLevel="0" collapsed="false">
      <c r="A21" s="12" t="s">
        <v>71</v>
      </c>
      <c r="B21" s="12" t="s">
        <v>72</v>
      </c>
    </row>
    <row r="22" customFormat="false" ht="15" hidden="false" customHeight="false" outlineLevel="0" collapsed="false">
      <c r="A22" s="12" t="s">
        <v>73</v>
      </c>
      <c r="B22" s="1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2026-08-27T18:28:52Z</dcterms:created>
  <dc:creator>openpyxl</dc:creator>
  <dc:description/>
  <dc:language>en-US</dc:language>
  <cp:lastModifiedBy/>
  <dcterms:modified xsi:type="dcterms:W3CDTF">2026-08-27T18:28:52Z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